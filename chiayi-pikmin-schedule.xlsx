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loudflarePage\react-router-starter\"/>
    </mc:Choice>
  </mc:AlternateContent>
  <xr:revisionPtr revIDLastSave="0" documentId="13_ncr:1_{C5F6FB85-8288-4804-B79E-912F2F1A6AE8}" xr6:coauthVersionLast="47" xr6:coauthVersionMax="47" xr10:uidLastSave="{00000000-0000-0000-0000-000000000000}"/>
  <bookViews>
    <workbookView xWindow="-28935" yWindow="3375" windowWidth="29070" windowHeight="15750" xr2:uid="{00000000-000D-0000-FFFF-FFFF00000000}"/>
  </bookViews>
  <sheets>
    <sheet name="行程調整" sheetId="1" r:id="rId1"/>
    <sheet name="工作表1" sheetId="3" r:id="rId2"/>
    <sheet name="設定" sheetId="2" r:id="rId3"/>
  </sheets>
  <definedNames>
    <definedName name="_xlnm._FilterDatabase" localSheetId="0" hidden="1">行程調整!$A$1:$K$14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G14" i="1" s="1"/>
  <c r="B2" i="2"/>
  <c r="G2" i="1" s="1"/>
  <c r="H2" i="1" s="1"/>
  <c r="I2" i="1" s="1"/>
  <c r="H3" i="1" s="1"/>
  <c r="I3" i="1" s="1"/>
  <c r="H4" i="1" s="1"/>
  <c r="I4" i="1" s="1"/>
  <c r="H5" i="1" s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l="1"/>
  <c r="I13" i="1" s="1"/>
  <c r="H14" i="1" s="1"/>
  <c r="I14" i="1" s="1"/>
  <c r="J12" i="1"/>
  <c r="J13" i="1" l="1"/>
</calcChain>
</file>

<file path=xl/sharedStrings.xml><?xml version="1.0" encoding="utf-8"?>
<sst xmlns="http://schemas.openxmlformats.org/spreadsheetml/2006/main" count="78" uniqueCount="59">
  <si>
    <t>順序</t>
  </si>
  <si>
    <t>類型</t>
  </si>
  <si>
    <t>地點 / 行程</t>
  </si>
  <si>
    <t>區域</t>
  </si>
  <si>
    <t>移動分鐘
(前站到此站)</t>
  </si>
  <si>
    <t>停留分鐘
(可調整)</t>
  </si>
  <si>
    <t>最早開始
(可空白)</t>
  </si>
  <si>
    <t>開始時間
(公式)</t>
  </si>
  <si>
    <t>結束時間
(公式)</t>
  </si>
  <si>
    <t>趕車狀態
(公式)</t>
  </si>
  <si>
    <t>備註</t>
  </si>
  <si>
    <t>使用方式</t>
  </si>
  <si>
    <t>高鐵/BRT</t>
  </si>
  <si>
    <t>高鐵 609 抵達嘉義 / BRT 進市區</t>
  </si>
  <si>
    <t>高鐵</t>
  </si>
  <si>
    <t>台北 07:46 → 嘉義 09:13。</t>
  </si>
  <si>
    <t>1. 改黃色欄位：移動分鐘、停留分鐘、最早開始。
2. 開始/結束時間會自動計算。
3. 若返程顯示警告，請縮短晚餐或提前返程。
4. 最早開始可填 17:30 這種時間，也可留空。</t>
  </si>
  <si>
    <t>排隊 / 午餐</t>
  </si>
  <si>
    <t>阿宏師火雞肉飯光華總店</t>
  </si>
  <si>
    <t>C 東門/文化路</t>
  </si>
  <si>
    <t>抵達市區後先排隊；可依現場隊伍調停留。</t>
  </si>
  <si>
    <t>踩點 / 逛展</t>
  </si>
  <si>
    <t>嘉義市立美術館</t>
  </si>
  <si>
    <t>A 車站西側</t>
  </si>
  <si>
    <t>可縮短或延長，視午餐排隊時間調整。</t>
  </si>
  <si>
    <t>踩點 / 市集</t>
  </si>
  <si>
    <t>嘉義文化創意產業園區</t>
  </si>
  <si>
    <t>文創園區與市集。</t>
  </si>
  <si>
    <t>嘉義市立博物館</t>
  </si>
  <si>
    <t>B 北門藝文</t>
  </si>
  <si>
    <t>展館停留，可視雨勢調整。</t>
  </si>
  <si>
    <t>踩點</t>
  </si>
  <si>
    <t>嘉義製材所園區 / 嘉義實驗木場</t>
  </si>
  <si>
    <t>短停；雨大可刪減。</t>
  </si>
  <si>
    <t>短停。</t>
  </si>
  <si>
    <t>嘉義市立棒球場</t>
  </si>
  <si>
    <t>文化公園</t>
  </si>
  <si>
    <t>官方攤位時段留意。</t>
  </si>
  <si>
    <t>嘉義中央第一商場</t>
  </si>
  <si>
    <t>收尾點。</t>
  </si>
  <si>
    <t>晚餐</t>
  </si>
  <si>
    <t>文化路夜市 / 文化路晚餐</t>
  </si>
  <si>
    <t>17:30</t>
  </si>
  <si>
    <t>若要趕高鐵，建議結束時間倒推。</t>
  </si>
  <si>
    <t>返程</t>
  </si>
  <si>
    <t>文化路 / 嘉義市區 → 高鐵嘉義站</t>
  </si>
  <si>
    <t>18:45</t>
  </si>
  <si>
    <t>此列的停留分鐘視為返程車程；建議 18:45 左右離開市區。</t>
  </si>
  <si>
    <t>高鐵回程</t>
  </si>
  <si>
    <t>高鐵 678｜嘉義 → 台北</t>
  </si>
  <si>
    <t>嘉義 19:32 → 台北 20:59。</t>
  </si>
  <si>
    <t>項目</t>
  </si>
  <si>
    <t>值</t>
  </si>
  <si>
    <t>抵達嘉義時間</t>
  </si>
  <si>
    <t>回程高鐵發車</t>
  </si>
  <si>
    <t>建議進站緩衝(分鐘)</t>
  </si>
  <si>
    <t>說明</t>
  </si>
  <si>
    <t>只要改黃色欄位：移動分鐘、停留分鐘、最早開始；起訖時間會自動重算。</t>
  </si>
  <si>
    <t>嘉義文學館：東門町1923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</si>
</sst>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1F6B63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B6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D0"/>
      </left>
      <right style="thin">
        <color rgb="FFD9E2D0"/>
      </right>
      <top style="thin">
        <color rgb="FFD9E2D0"/>
      </top>
      <bottom style="thin">
        <color rgb="FFD9E2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20" fontId="0" fillId="3" borderId="1" xfId="0" applyNumberFormat="1" applyFill="1" applyBorder="1" applyAlignment="1">
      <alignment vertical="center" wrapText="1"/>
    </xf>
    <xf numFmtId="20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一般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pane ySplit="1" topLeftCell="A6" activePane="bottomLeft" state="frozen"/>
      <selection pane="bottomLeft" activeCell="G9" sqref="G9"/>
    </sheetView>
  </sheetViews>
  <sheetFormatPr defaultRowHeight="15.75" x14ac:dyDescent="0.25"/>
  <cols>
    <col min="1" max="1" width="7" customWidth="1"/>
    <col min="2" max="2" width="14" customWidth="1"/>
    <col min="3" max="3" width="34" customWidth="1"/>
    <col min="4" max="6" width="14" customWidth="1"/>
    <col min="7" max="9" width="13" customWidth="1"/>
    <col min="10" max="10" width="18" customWidth="1"/>
    <col min="11" max="11" width="42" customWidth="1"/>
    <col min="13" max="13" width="46" customWidth="1"/>
  </cols>
  <sheetData>
    <row r="1" spans="1:13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</row>
    <row r="2" spans="1:13" ht="81.95" customHeight="1" x14ac:dyDescent="0.25">
      <c r="A2" s="3">
        <v>1</v>
      </c>
      <c r="B2" s="3" t="s">
        <v>12</v>
      </c>
      <c r="C2" s="3" t="s">
        <v>13</v>
      </c>
      <c r="D2" s="3" t="s">
        <v>14</v>
      </c>
      <c r="E2" s="4">
        <v>0</v>
      </c>
      <c r="F2" s="4">
        <v>0</v>
      </c>
      <c r="G2" s="5">
        <f>設定!B2</f>
        <v>0.3840277777777778</v>
      </c>
      <c r="H2" s="6">
        <f>G2</f>
        <v>0.3840277777777778</v>
      </c>
      <c r="I2" s="6">
        <f t="shared" ref="I2:I14" si="0">H2+F2/1440</f>
        <v>0.3840277777777778</v>
      </c>
      <c r="J2" s="7"/>
      <c r="K2" s="3" t="s">
        <v>15</v>
      </c>
      <c r="M2" s="8" t="s">
        <v>16</v>
      </c>
    </row>
    <row r="3" spans="1:13" ht="42" customHeight="1" x14ac:dyDescent="0.25">
      <c r="A3" s="3">
        <v>2</v>
      </c>
      <c r="B3" s="3" t="s">
        <v>17</v>
      </c>
      <c r="C3" s="3" t="s">
        <v>18</v>
      </c>
      <c r="D3" s="3" t="s">
        <v>19</v>
      </c>
      <c r="E3" s="4">
        <v>60</v>
      </c>
      <c r="F3" s="4">
        <v>50</v>
      </c>
      <c r="G3" s="5"/>
      <c r="H3" s="6">
        <f t="shared" ref="H3:H14" si="1">MAX(I2+E3/1440,IF(G3="",0,G3))</f>
        <v>0.42569444444444449</v>
      </c>
      <c r="I3" s="6">
        <f t="shared" si="0"/>
        <v>0.4604166666666667</v>
      </c>
      <c r="J3" s="7"/>
      <c r="K3" s="3" t="s">
        <v>20</v>
      </c>
    </row>
    <row r="4" spans="1:13" ht="42" customHeight="1" x14ac:dyDescent="0.25">
      <c r="A4" s="3">
        <v>3</v>
      </c>
      <c r="B4" s="3" t="s">
        <v>21</v>
      </c>
      <c r="C4" s="3" t="s">
        <v>38</v>
      </c>
      <c r="D4" s="3" t="s">
        <v>19</v>
      </c>
      <c r="E4" s="4">
        <v>10</v>
      </c>
      <c r="F4" s="4">
        <v>15</v>
      </c>
      <c r="G4" s="5"/>
      <c r="H4" s="6">
        <f t="shared" si="1"/>
        <v>0.46736111111111112</v>
      </c>
      <c r="I4" s="6">
        <f t="shared" si="0"/>
        <v>0.4777777777777778</v>
      </c>
      <c r="J4" s="7"/>
      <c r="K4" s="3" t="s">
        <v>24</v>
      </c>
    </row>
    <row r="5" spans="1:13" ht="42" customHeight="1" x14ac:dyDescent="0.25">
      <c r="A5" s="3">
        <v>4</v>
      </c>
      <c r="B5" s="3" t="s">
        <v>25</v>
      </c>
      <c r="C5" s="3" t="s">
        <v>36</v>
      </c>
      <c r="D5" s="3" t="s">
        <v>19</v>
      </c>
      <c r="E5" s="4">
        <v>15</v>
      </c>
      <c r="F5" s="4">
        <v>30</v>
      </c>
      <c r="G5" s="5"/>
      <c r="H5" s="6">
        <f t="shared" si="1"/>
        <v>0.48819444444444449</v>
      </c>
      <c r="I5" s="6">
        <f t="shared" si="0"/>
        <v>0.50902777777777786</v>
      </c>
      <c r="J5" s="7"/>
      <c r="K5" s="3" t="s">
        <v>27</v>
      </c>
    </row>
    <row r="6" spans="1:13" ht="42" customHeight="1" x14ac:dyDescent="0.25">
      <c r="A6" s="3">
        <v>5</v>
      </c>
      <c r="B6" s="3" t="s">
        <v>21</v>
      </c>
      <c r="C6" s="3" t="s">
        <v>22</v>
      </c>
      <c r="D6" s="3" t="s">
        <v>23</v>
      </c>
      <c r="E6" s="4">
        <v>20</v>
      </c>
      <c r="F6" s="4">
        <v>60</v>
      </c>
      <c r="G6" s="5"/>
      <c r="H6" s="6">
        <f t="shared" si="1"/>
        <v>0.5229166666666667</v>
      </c>
      <c r="I6" s="6">
        <f t="shared" si="0"/>
        <v>0.56458333333333333</v>
      </c>
      <c r="J6" s="7"/>
      <c r="K6" s="3" t="s">
        <v>30</v>
      </c>
    </row>
    <row r="7" spans="1:13" ht="42" customHeight="1" x14ac:dyDescent="0.25">
      <c r="A7" s="3">
        <v>6</v>
      </c>
      <c r="B7" s="3" t="s">
        <v>31</v>
      </c>
      <c r="C7" s="3" t="s">
        <v>26</v>
      </c>
      <c r="D7" s="3" t="s">
        <v>23</v>
      </c>
      <c r="E7" s="4">
        <v>5</v>
      </c>
      <c r="F7" s="4">
        <v>60</v>
      </c>
      <c r="G7" s="5"/>
      <c r="H7" s="6">
        <f t="shared" si="1"/>
        <v>0.56805555555555554</v>
      </c>
      <c r="I7" s="6">
        <f t="shared" si="0"/>
        <v>0.60972222222222217</v>
      </c>
      <c r="J7" s="7"/>
      <c r="K7" s="3" t="s">
        <v>33</v>
      </c>
    </row>
    <row r="8" spans="1:13" ht="42" customHeight="1" x14ac:dyDescent="0.25">
      <c r="A8" s="3">
        <v>7</v>
      </c>
      <c r="B8" s="3" t="s">
        <v>31</v>
      </c>
      <c r="C8" s="3" t="s">
        <v>28</v>
      </c>
      <c r="D8" s="3" t="s">
        <v>29</v>
      </c>
      <c r="E8" s="4">
        <v>20</v>
      </c>
      <c r="F8" s="4">
        <v>80</v>
      </c>
      <c r="G8" s="5"/>
      <c r="H8" s="6">
        <f t="shared" si="1"/>
        <v>0.62361111111111101</v>
      </c>
      <c r="I8" s="6">
        <f t="shared" si="0"/>
        <v>0.67916666666666659</v>
      </c>
      <c r="J8" s="7"/>
      <c r="K8" s="3" t="s">
        <v>34</v>
      </c>
    </row>
    <row r="9" spans="1:13" ht="42" customHeight="1" x14ac:dyDescent="0.25">
      <c r="A9" s="3">
        <v>8</v>
      </c>
      <c r="B9" s="3" t="s">
        <v>31</v>
      </c>
      <c r="C9" s="3" t="s">
        <v>32</v>
      </c>
      <c r="D9" s="3" t="s">
        <v>29</v>
      </c>
      <c r="E9" s="4">
        <v>5</v>
      </c>
      <c r="F9" s="4">
        <v>20</v>
      </c>
      <c r="G9" s="5"/>
      <c r="H9" s="6">
        <f t="shared" si="1"/>
        <v>0.6826388888888888</v>
      </c>
      <c r="I9" s="6">
        <f t="shared" si="0"/>
        <v>0.69652777777777763</v>
      </c>
      <c r="J9" s="7"/>
      <c r="K9" s="3" t="s">
        <v>34</v>
      </c>
    </row>
    <row r="10" spans="1:13" ht="42" customHeight="1" x14ac:dyDescent="0.25">
      <c r="A10" s="3">
        <v>9</v>
      </c>
      <c r="B10" s="3" t="s">
        <v>31</v>
      </c>
      <c r="C10" s="3" t="s">
        <v>35</v>
      </c>
      <c r="D10" s="3" t="s">
        <v>19</v>
      </c>
      <c r="E10" s="4">
        <v>20</v>
      </c>
      <c r="F10" s="4">
        <v>10</v>
      </c>
      <c r="G10" s="5"/>
      <c r="H10" s="6">
        <f t="shared" si="1"/>
        <v>0.71041666666666647</v>
      </c>
      <c r="I10" s="6">
        <f t="shared" si="0"/>
        <v>0.71736111111111089</v>
      </c>
      <c r="J10" s="7"/>
      <c r="K10" s="3" t="s">
        <v>37</v>
      </c>
    </row>
    <row r="11" spans="1:13" ht="42" customHeight="1" x14ac:dyDescent="0.25">
      <c r="A11" s="3">
        <v>10</v>
      </c>
      <c r="B11" s="3" t="s">
        <v>31</v>
      </c>
      <c r="C11" s="3" t="s">
        <v>58</v>
      </c>
      <c r="D11" s="3" t="s">
        <v>19</v>
      </c>
      <c r="E11" s="4">
        <v>10</v>
      </c>
      <c r="F11" s="4">
        <v>5</v>
      </c>
      <c r="G11" s="5"/>
      <c r="H11" s="6">
        <f t="shared" si="1"/>
        <v>0.72430555555555531</v>
      </c>
      <c r="I11" s="6">
        <f t="shared" si="0"/>
        <v>0.72777777777777752</v>
      </c>
      <c r="J11" s="7"/>
      <c r="K11" s="3" t="s">
        <v>39</v>
      </c>
    </row>
    <row r="12" spans="1:13" ht="42" customHeight="1" x14ac:dyDescent="0.25">
      <c r="A12" s="3">
        <v>11</v>
      </c>
      <c r="B12" s="3" t="s">
        <v>40</v>
      </c>
      <c r="C12" s="3" t="s">
        <v>41</v>
      </c>
      <c r="D12" s="3" t="s">
        <v>19</v>
      </c>
      <c r="E12" s="4">
        <v>5</v>
      </c>
      <c r="F12" s="4">
        <v>70</v>
      </c>
      <c r="G12" s="5" t="s">
        <v>42</v>
      </c>
      <c r="H12" s="6">
        <f t="shared" si="1"/>
        <v>0.73124999999999973</v>
      </c>
      <c r="I12" s="6">
        <f t="shared" si="0"/>
        <v>0.77986111111111089</v>
      </c>
      <c r="J12" s="7" t="str">
        <f>IF(I12&lt;=設定!B3-設定!B4/1440,"OK：有緩衝","警告：太晚")</f>
        <v>OK：有緩衝</v>
      </c>
      <c r="K12" s="3" t="s">
        <v>43</v>
      </c>
    </row>
    <row r="13" spans="1:13" ht="42" customHeight="1" x14ac:dyDescent="0.25">
      <c r="A13" s="3">
        <v>12</v>
      </c>
      <c r="B13" s="3" t="s">
        <v>44</v>
      </c>
      <c r="C13" s="3" t="s">
        <v>45</v>
      </c>
      <c r="D13" s="3" t="s">
        <v>14</v>
      </c>
      <c r="E13" s="4">
        <v>40</v>
      </c>
      <c r="F13" s="4">
        <v>5</v>
      </c>
      <c r="G13" s="5" t="s">
        <v>46</v>
      </c>
      <c r="H13" s="6">
        <f t="shared" si="1"/>
        <v>0.80763888888888868</v>
      </c>
      <c r="I13" s="6">
        <f t="shared" si="0"/>
        <v>0.81111111111111089</v>
      </c>
      <c r="J13" s="7" t="str">
        <f>IF(I12&lt;=H13-設定!B4/1440,"OK：可趕上","警告：返程太晚")</f>
        <v>OK：可趕上</v>
      </c>
      <c r="K13" s="3" t="s">
        <v>47</v>
      </c>
    </row>
    <row r="14" spans="1:13" ht="42" customHeight="1" x14ac:dyDescent="0.25">
      <c r="A14" s="3">
        <v>13</v>
      </c>
      <c r="B14" s="3" t="s">
        <v>48</v>
      </c>
      <c r="C14" s="3" t="s">
        <v>49</v>
      </c>
      <c r="D14" s="3" t="s">
        <v>14</v>
      </c>
      <c r="E14" s="4">
        <v>91</v>
      </c>
      <c r="F14" s="4">
        <v>0</v>
      </c>
      <c r="G14" s="5">
        <f>設定!B3</f>
        <v>0.81388888888888888</v>
      </c>
      <c r="H14" s="6">
        <f t="shared" si="1"/>
        <v>0.87430555555555534</v>
      </c>
      <c r="I14" s="6">
        <f t="shared" si="0"/>
        <v>0.87430555555555534</v>
      </c>
      <c r="J14" s="7"/>
      <c r="K14" s="3" t="s">
        <v>50</v>
      </c>
    </row>
  </sheetData>
  <autoFilter ref="A1:K14" xr:uid="{00000000-0009-0000-0000-000000000000}"/>
  <phoneticPr fontId="4" type="noConversion"/>
  <conditionalFormatting sqref="J2:J14">
    <cfRule type="expression" dxfId="0" priority="1">
      <formula>LEFT(J2,2)="警告"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D3B8-5505-4771-A4E0-163052C72214}">
  <dimension ref="A1:B2"/>
  <sheetViews>
    <sheetView workbookViewId="0">
      <selection sqref="A1:B2"/>
    </sheetView>
  </sheetViews>
  <sheetFormatPr defaultRowHeight="15.75" x14ac:dyDescent="0.25"/>
  <sheetData>
    <row r="1" spans="1:2" ht="47.25" x14ac:dyDescent="0.25">
      <c r="A1" s="3" t="s">
        <v>22</v>
      </c>
      <c r="B1" s="3" t="s">
        <v>23</v>
      </c>
    </row>
    <row r="2" spans="1:2" ht="63" x14ac:dyDescent="0.25">
      <c r="A2" s="3" t="s">
        <v>26</v>
      </c>
      <c r="B2" s="3" t="s">
        <v>23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75" x14ac:dyDescent="0.25"/>
  <cols>
    <col min="1" max="1" width="24" customWidth="1"/>
    <col min="2" max="2" width="58" customWidth="1"/>
  </cols>
  <sheetData>
    <row r="1" spans="1:2" x14ac:dyDescent="0.25">
      <c r="A1" s="9" t="s">
        <v>51</v>
      </c>
      <c r="B1" s="9" t="s">
        <v>52</v>
      </c>
    </row>
    <row r="2" spans="1:2" x14ac:dyDescent="0.25">
      <c r="A2" s="10" t="s">
        <v>53</v>
      </c>
      <c r="B2" s="11">
        <f>TIME(9,13,0)</f>
        <v>0.3840277777777778</v>
      </c>
    </row>
    <row r="3" spans="1:2" x14ac:dyDescent="0.25">
      <c r="A3" s="10" t="s">
        <v>54</v>
      </c>
      <c r="B3" s="11">
        <f>TIME(19,32,0)</f>
        <v>0.81388888888888888</v>
      </c>
    </row>
    <row r="4" spans="1:2" x14ac:dyDescent="0.25">
      <c r="A4" s="10" t="s">
        <v>55</v>
      </c>
      <c r="B4" s="10">
        <v>12</v>
      </c>
    </row>
    <row r="5" spans="1:2" ht="31.5" x14ac:dyDescent="0.25">
      <c r="A5" s="10" t="s">
        <v>56</v>
      </c>
      <c r="B5" s="10" t="s">
        <v>57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行程調整</vt:lpstr>
      <vt:lpstr>工作表1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彥禎 黃</cp:lastModifiedBy>
  <dcterms:created xsi:type="dcterms:W3CDTF">2026-05-29T14:53:03Z</dcterms:created>
  <dcterms:modified xsi:type="dcterms:W3CDTF">2026-05-29T22:07:50Z</dcterms:modified>
</cp:coreProperties>
</file>